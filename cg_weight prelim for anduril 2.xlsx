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h\OneDrive\Documents\GitHub\OpenRocket-Sim\"/>
    </mc:Choice>
  </mc:AlternateContent>
  <xr:revisionPtr revIDLastSave="0" documentId="8_{DE4BFE4D-AF12-4B5A-A4AA-95DCC789CDF5}" xr6:coauthVersionLast="47" xr6:coauthVersionMax="47" xr10:uidLastSave="{00000000-0000-0000-0000-000000000000}"/>
  <bookViews>
    <workbookView xWindow="14295" yWindow="0" windowWidth="14610" windowHeight="15585" xr2:uid="{AFCA5E16-33D3-47E1-B022-B06C67705D14}"/>
  </bookViews>
  <sheets>
    <sheet name="5.5&quot;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" l="1"/>
  <c r="E10" i="1"/>
  <c r="F3" i="1"/>
  <c r="F4" i="1" s="1"/>
  <c r="D15" i="1"/>
  <c r="D3" i="1"/>
  <c r="D4" i="1" s="1"/>
  <c r="G4" i="1" s="1"/>
  <c r="C11" i="1"/>
  <c r="C10" i="1"/>
  <c r="D10" i="1" l="1"/>
  <c r="G10" i="1" s="1"/>
  <c r="D5" i="1"/>
  <c r="G5" i="1" s="1"/>
  <c r="F5" i="1"/>
  <c r="D6" i="1" s="1"/>
  <c r="G6" i="1" s="1"/>
  <c r="G3" i="1"/>
  <c r="F6" i="1"/>
  <c r="D7" i="1" l="1"/>
  <c r="G7" i="1" s="1"/>
  <c r="F7" i="1"/>
  <c r="D8" i="1" l="1"/>
  <c r="G8" i="1" s="1"/>
  <c r="F8" i="1"/>
  <c r="D9" i="1" l="1"/>
  <c r="G9" i="1" s="1"/>
  <c r="G11" i="1" s="1"/>
  <c r="F9" i="1"/>
</calcChain>
</file>

<file path=xl/sharedStrings.xml><?xml version="1.0" encoding="utf-8"?>
<sst xmlns="http://schemas.openxmlformats.org/spreadsheetml/2006/main" count="12" uniqueCount="12">
  <si>
    <t>Nosecone</t>
  </si>
  <si>
    <t>Weight</t>
  </si>
  <si>
    <t>Location</t>
  </si>
  <si>
    <t>Length</t>
  </si>
  <si>
    <t>Avionics</t>
  </si>
  <si>
    <t>Payload</t>
  </si>
  <si>
    <t>Recovery</t>
  </si>
  <si>
    <t>Motor</t>
  </si>
  <si>
    <t>Motor retention</t>
  </si>
  <si>
    <t>Boat tail</t>
  </si>
  <si>
    <t>Fuselage</t>
  </si>
  <si>
    <t>cg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</si>
</sst>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77B53-397F-4065-AF22-B826F8B4BAB2}">
  <dimension ref="B2:G15"/>
  <sheetViews>
    <sheetView tabSelected="1" workbookViewId="0">
      <selection activeCell="G18" sqref="G18"/>
    </sheetView>
  </sheetViews>
  <sheetFormatPr defaultRowHeight="15" x14ac:dyDescent="0.25"/>
  <cols>
    <col min="2" max="2" width="16.5703125" customWidth="1"/>
  </cols>
  <sheetData>
    <row r="2" spans="2:7" x14ac:dyDescent="0.25">
      <c r="C2" t="s">
        <v>1</v>
      </c>
      <c r="D2" t="s">
        <v>2</v>
      </c>
      <c r="E2" t="s">
        <v>3</v>
      </c>
      <c r="G2" t="s">
        <v>11</v>
      </c>
    </row>
    <row r="3" spans="2:7" x14ac:dyDescent="0.25">
      <c r="B3" t="s">
        <v>0</v>
      </c>
      <c r="C3">
        <v>1.5</v>
      </c>
      <c r="D3">
        <f>E3/2</f>
        <v>11.5</v>
      </c>
      <c r="E3">
        <v>23</v>
      </c>
      <c r="F3">
        <f>E3</f>
        <v>23</v>
      </c>
      <c r="G3">
        <f>C3*D3</f>
        <v>17.25</v>
      </c>
    </row>
    <row r="4" spans="2:7" x14ac:dyDescent="0.25">
      <c r="B4" t="s">
        <v>4</v>
      </c>
      <c r="C4">
        <v>0.7</v>
      </c>
      <c r="D4">
        <f>D3</f>
        <v>11.5</v>
      </c>
      <c r="F4">
        <f>E4+F3</f>
        <v>23</v>
      </c>
      <c r="G4">
        <f t="shared" ref="G4:G10" si="0">C4*D4</f>
        <v>8.0499999999999989</v>
      </c>
    </row>
    <row r="5" spans="2:7" x14ac:dyDescent="0.25">
      <c r="B5" t="s">
        <v>5</v>
      </c>
      <c r="C5">
        <v>2.5</v>
      </c>
      <c r="D5">
        <f>F4+E5/2</f>
        <v>23.5</v>
      </c>
      <c r="E5">
        <v>1</v>
      </c>
      <c r="F5">
        <f t="shared" ref="F5:F9" si="1">E5+F4</f>
        <v>24</v>
      </c>
      <c r="G5">
        <f t="shared" si="0"/>
        <v>58.75</v>
      </c>
    </row>
    <row r="6" spans="2:7" x14ac:dyDescent="0.25">
      <c r="B6" t="s">
        <v>6</v>
      </c>
      <c r="C6">
        <v>2.2999999999999998</v>
      </c>
      <c r="D6">
        <f>F5+E6/2</f>
        <v>32.5</v>
      </c>
      <c r="E6">
        <v>17</v>
      </c>
      <c r="F6">
        <f t="shared" si="1"/>
        <v>41</v>
      </c>
      <c r="G6">
        <f t="shared" si="0"/>
        <v>74.75</v>
      </c>
    </row>
    <row r="7" spans="2:7" x14ac:dyDescent="0.25">
      <c r="B7" t="s">
        <v>7</v>
      </c>
      <c r="C7">
        <v>16</v>
      </c>
      <c r="D7">
        <f t="shared" ref="D7:D9" si="2">F6+E7/2</f>
        <v>66.75</v>
      </c>
      <c r="E7">
        <v>51.5</v>
      </c>
      <c r="F7">
        <f t="shared" si="1"/>
        <v>92.5</v>
      </c>
      <c r="G7">
        <f t="shared" si="0"/>
        <v>1068</v>
      </c>
    </row>
    <row r="8" spans="2:7" x14ac:dyDescent="0.25">
      <c r="B8" t="s">
        <v>8</v>
      </c>
      <c r="C8">
        <v>0.2</v>
      </c>
      <c r="D8">
        <f t="shared" si="2"/>
        <v>92.6</v>
      </c>
      <c r="E8">
        <v>0.2</v>
      </c>
      <c r="F8">
        <f t="shared" si="1"/>
        <v>92.7</v>
      </c>
      <c r="G8">
        <f t="shared" si="0"/>
        <v>18.52</v>
      </c>
    </row>
    <row r="9" spans="2:7" x14ac:dyDescent="0.25">
      <c r="B9" t="s">
        <v>9</v>
      </c>
      <c r="C9">
        <v>0.2</v>
      </c>
      <c r="D9">
        <f t="shared" si="2"/>
        <v>93.325000000000003</v>
      </c>
      <c r="E9">
        <v>1.25</v>
      </c>
      <c r="F9">
        <f t="shared" si="1"/>
        <v>93.95</v>
      </c>
      <c r="G9">
        <f t="shared" si="0"/>
        <v>18.665000000000003</v>
      </c>
    </row>
    <row r="10" spans="2:7" x14ac:dyDescent="0.25">
      <c r="B10" t="s">
        <v>10</v>
      </c>
      <c r="C10">
        <f>3</f>
        <v>3</v>
      </c>
      <c r="D10">
        <f>F4+E10/2</f>
        <v>57.85</v>
      </c>
      <c r="E10">
        <f>SUM(E5:E8)</f>
        <v>69.7</v>
      </c>
      <c r="G10">
        <f t="shared" si="0"/>
        <v>173.55</v>
      </c>
    </row>
    <row r="11" spans="2:7" x14ac:dyDescent="0.25">
      <c r="C11">
        <f>SUM(C3:C10)</f>
        <v>26.4</v>
      </c>
      <c r="G11">
        <f>SUM(G3:G10)/C11</f>
        <v>54.452083333333334</v>
      </c>
    </row>
    <row r="12" spans="2:7" x14ac:dyDescent="0.25">
      <c r="C12">
        <f>CONVERT(C11,"kg","lbm")</f>
        <v>58.202037216807675</v>
      </c>
    </row>
    <row r="15" spans="2:7" x14ac:dyDescent="0.25">
      <c r="D15">
        <f>-CONVERT(0.1, "m", "in")</f>
        <v>-3.9370078740157481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5.5"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Davies</dc:creator>
  <cp:lastModifiedBy>Matthew Davies</cp:lastModifiedBy>
  <dcterms:created xsi:type="dcterms:W3CDTF">2024-08-15T18:11:57Z</dcterms:created>
  <dcterms:modified xsi:type="dcterms:W3CDTF">2024-08-15T18:45:54Z</dcterms:modified>
</cp:coreProperties>
</file>